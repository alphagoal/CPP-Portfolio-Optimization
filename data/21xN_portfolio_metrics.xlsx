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redchoi/Desktop/Imperial/Course/Summer Term/Computational Finance/HW/data/"/>
    </mc:Choice>
  </mc:AlternateContent>
  <xr:revisionPtr revIDLastSave="0" documentId="13_ncr:9_{7D5C8581-EC27-8C4F-ACB7-E52D099FB5CD}" xr6:coauthVersionLast="47" xr6:coauthVersionMax="47" xr10:uidLastSave="{00000000-0000-0000-0000-000000000000}"/>
  <bookViews>
    <workbookView xWindow="49120" yWindow="4260" windowWidth="27240" windowHeight="16440" xr2:uid="{471923B0-9DEF-4E43-B1DA-0D5B86604F19}"/>
  </bookViews>
  <sheets>
    <sheet name="21xN_portfolio_metrics" sheetId="1" r:id="rId1"/>
    <sheet name="Sheet1" sheetId="2" r:id="rId2"/>
    <sheet name="Sheet1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2" i="3"/>
  <c r="I3" i="3"/>
  <c r="I4" i="3"/>
  <c r="I5" i="3"/>
  <c r="I6" i="3"/>
  <c r="I7" i="3"/>
  <c r="I8" i="3"/>
  <c r="I9" i="3"/>
  <c r="I2" i="3"/>
  <c r="L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M1" i="1"/>
</calcChain>
</file>

<file path=xl/sharedStrings.xml><?xml version="1.0" encoding="utf-8"?>
<sst xmlns="http://schemas.openxmlformats.org/spreadsheetml/2006/main" count="50" uniqueCount="17">
  <si>
    <t>Daily Mean Return (decimal)</t>
  </si>
  <si>
    <t>Daily Variance</t>
  </si>
  <si>
    <t>Daily Standard Deviation</t>
  </si>
  <si>
    <t>Annualized Return (decimal)</t>
  </si>
  <si>
    <t>Annualized Variance</t>
  </si>
  <si>
    <t>Annualized Standard Deviation</t>
  </si>
  <si>
    <t>Sharpe Ratio</t>
  </si>
  <si>
    <t>Number of Periods</t>
  </si>
  <si>
    <t>Daily Sharpe Ratio</t>
  </si>
  <si>
    <t>Target Return (%)</t>
  </si>
  <si>
    <t>Daily Mean Return</t>
  </si>
  <si>
    <t>Annualized Return</t>
  </si>
  <si>
    <t>600-Days Cummulative Return</t>
  </si>
  <si>
    <t>Annualized Term</t>
  </si>
  <si>
    <t>Risk-free rate</t>
  </si>
  <si>
    <t>N/A</t>
  </si>
  <si>
    <t>Annual 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</si>
</sst>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0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164" fontId="0" fillId="0" borderId="0" xfId="1" applyNumberFormat="1" applyFont="1"/>
    <xf numFmtId="0" fontId="0" fillId="0" borderId="0" xfId="0" applyFill="1" applyAlignment="1">
      <alignment wrapText="1"/>
    </xf>
    <xf numFmtId="0" fontId="0" fillId="0" borderId="0" xfId="0" applyFill="1"/>
    <xf numFmtId="164" fontId="0" fillId="0" borderId="0" xfId="1" applyNumberFormat="1" applyFont="1" applyAlignment="1">
      <alignment wrapText="1"/>
    </xf>
    <xf numFmtId="170" fontId="0" fillId="0" borderId="0" xfId="0" applyNumberFormat="1"/>
    <xf numFmtId="10" fontId="0" fillId="0" borderId="0" xfId="1" applyNumberFormat="1" applyFont="1"/>
    <xf numFmtId="0" fontId="0" fillId="33" borderId="0" xfId="0" applyFill="1" applyAlignment="1">
      <alignment wrapText="1"/>
    </xf>
    <xf numFmtId="10" fontId="0" fillId="33" borderId="0" xfId="1" applyNumberFormat="1" applyFont="1" applyFill="1"/>
    <xf numFmtId="170" fontId="0" fillId="0" borderId="0" xfId="0" applyNumberForma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0D32-5DDF-614C-ABA5-DE33FCE1ABCE}">
  <dimension ref="A1:M22"/>
  <sheetViews>
    <sheetView tabSelected="1" workbookViewId="0">
      <selection activeCell="G13" sqref="G13"/>
    </sheetView>
  </sheetViews>
  <sheetFormatPr baseColWidth="10" defaultRowHeight="16" x14ac:dyDescent="0.2"/>
  <cols>
    <col min="2" max="2" width="17.5" customWidth="1"/>
    <col min="5" max="5" width="10.83203125" style="5"/>
    <col min="13" max="13" width="12.1640625" bestFit="1" customWidth="1"/>
  </cols>
  <sheetData>
    <row r="1" spans="1:13" ht="51" x14ac:dyDescent="0.2">
      <c r="A1" s="1" t="s">
        <v>9</v>
      </c>
      <c r="B1" s="1" t="s">
        <v>0</v>
      </c>
      <c r="C1" s="1" t="s">
        <v>1</v>
      </c>
      <c r="D1" s="1" t="s">
        <v>2</v>
      </c>
      <c r="E1" s="4" t="s">
        <v>8</v>
      </c>
      <c r="F1" s="1" t="s">
        <v>3</v>
      </c>
      <c r="G1" s="1" t="s">
        <v>4</v>
      </c>
      <c r="H1" s="1" t="s">
        <v>5</v>
      </c>
      <c r="I1" t="s">
        <v>6</v>
      </c>
      <c r="J1" s="2" t="s">
        <v>7</v>
      </c>
      <c r="M1">
        <f>0.02/252</f>
        <v>7.9365079365079365E-5</v>
      </c>
    </row>
    <row r="2" spans="1:13" x14ac:dyDescent="0.2">
      <c r="A2" s="3">
        <v>0</v>
      </c>
      <c r="B2">
        <v>1.4440646000000001E-3</v>
      </c>
      <c r="C2">
        <v>1.1879604E-3</v>
      </c>
      <c r="D2">
        <v>3.4466801900000003E-2</v>
      </c>
      <c r="E2" s="5">
        <f>(B2-M1)/D2</f>
        <v>3.9594608301471698E-2</v>
      </c>
      <c r="F2">
        <v>0.3639042669</v>
      </c>
      <c r="G2">
        <v>0.29936602950000002</v>
      </c>
      <c r="H2">
        <v>0.54714351819999996</v>
      </c>
      <c r="I2">
        <v>0.62854489810000003</v>
      </c>
      <c r="J2">
        <v>600</v>
      </c>
    </row>
    <row r="3" spans="1:13" x14ac:dyDescent="0.2">
      <c r="A3" s="3">
        <v>5.0000000000000001E-3</v>
      </c>
      <c r="B3">
        <v>2.0031605000000001E-3</v>
      </c>
      <c r="C3">
        <v>1.4699958E-3</v>
      </c>
      <c r="D3">
        <v>3.8340524100000002E-2</v>
      </c>
      <c r="E3" s="5">
        <f t="shared" ref="E3:E22" si="0">(B3-M2)/D3</f>
        <v>5.2246560187214554E-2</v>
      </c>
      <c r="F3">
        <v>0.50479644680000002</v>
      </c>
      <c r="G3">
        <v>0.37043893820000001</v>
      </c>
      <c r="H3">
        <v>0.60863695110000005</v>
      </c>
      <c r="I3">
        <v>0.79652812070000001</v>
      </c>
      <c r="J3">
        <v>600</v>
      </c>
    </row>
    <row r="4" spans="1:13" x14ac:dyDescent="0.2">
      <c r="A4" s="3">
        <v>0.01</v>
      </c>
      <c r="B4">
        <v>2.1705337999999999E-3</v>
      </c>
      <c r="C4">
        <v>2.8538459000000001E-3</v>
      </c>
      <c r="D4">
        <v>5.3421399199999997E-2</v>
      </c>
      <c r="E4" s="5">
        <f t="shared" si="0"/>
        <v>4.0630418381104476E-2</v>
      </c>
      <c r="F4">
        <v>0.546974513</v>
      </c>
      <c r="G4">
        <v>0.71916916379999996</v>
      </c>
      <c r="H4">
        <v>0.84803842119999995</v>
      </c>
      <c r="I4">
        <v>0.6214040542</v>
      </c>
      <c r="J4">
        <v>600</v>
      </c>
    </row>
    <row r="5" spans="1:13" x14ac:dyDescent="0.2">
      <c r="A5" s="3">
        <v>1.4999999999999999E-2</v>
      </c>
      <c r="B5">
        <v>2.4944566000000001E-3</v>
      </c>
      <c r="C5">
        <v>5.2901555000000001E-3</v>
      </c>
      <c r="D5">
        <v>7.2733455500000002E-2</v>
      </c>
      <c r="E5" s="5">
        <f t="shared" si="0"/>
        <v>3.4295862651541421E-2</v>
      </c>
      <c r="F5">
        <v>0.62860305890000001</v>
      </c>
      <c r="G5">
        <v>1.3331191972000001</v>
      </c>
      <c r="H5">
        <v>1.154607811</v>
      </c>
      <c r="I5">
        <v>0.52710803880000001</v>
      </c>
      <c r="J5">
        <v>600</v>
      </c>
    </row>
    <row r="6" spans="1:13" x14ac:dyDescent="0.2">
      <c r="A6" s="3">
        <v>0.02</v>
      </c>
      <c r="B6">
        <v>2.7172806000000001E-3</v>
      </c>
      <c r="C6">
        <v>8.7897901000000001E-3</v>
      </c>
      <c r="D6">
        <v>9.3753880299999995E-2</v>
      </c>
      <c r="E6" s="5">
        <f t="shared" si="0"/>
        <v>2.8983126792246489E-2</v>
      </c>
      <c r="F6">
        <v>0.68475471919999997</v>
      </c>
      <c r="G6">
        <v>2.2150270957</v>
      </c>
      <c r="H6">
        <v>1.4882967094999999</v>
      </c>
      <c r="I6">
        <v>0.44665469930000001</v>
      </c>
      <c r="J6">
        <v>600</v>
      </c>
    </row>
    <row r="7" spans="1:13" x14ac:dyDescent="0.2">
      <c r="A7" s="3">
        <v>2.5000000000000001E-2</v>
      </c>
      <c r="B7">
        <v>3.0709786E-3</v>
      </c>
      <c r="C7">
        <v>1.3435823E-2</v>
      </c>
      <c r="D7">
        <v>0.1159129974</v>
      </c>
      <c r="E7" s="5">
        <f t="shared" si="0"/>
        <v>2.649382441041077E-2</v>
      </c>
      <c r="F7">
        <v>0.77388661140000004</v>
      </c>
      <c r="G7">
        <v>3.3858273854999998</v>
      </c>
      <c r="H7">
        <v>1.8400617884999999</v>
      </c>
      <c r="I7">
        <v>0.4097072262</v>
      </c>
      <c r="J7">
        <v>600</v>
      </c>
    </row>
    <row r="8" spans="1:13" x14ac:dyDescent="0.2">
      <c r="A8" s="3">
        <v>0.03</v>
      </c>
      <c r="B8">
        <v>3.3759492000000001E-3</v>
      </c>
      <c r="C8">
        <v>1.9104259799999999E-2</v>
      </c>
      <c r="D8">
        <v>0.13821816000000001</v>
      </c>
      <c r="E8" s="5">
        <f t="shared" si="0"/>
        <v>2.4424787596651554E-2</v>
      </c>
      <c r="F8">
        <v>0.85073920859999996</v>
      </c>
      <c r="G8">
        <v>4.8142734575999997</v>
      </c>
      <c r="H8">
        <v>2.1941452681000002</v>
      </c>
      <c r="I8">
        <v>0.37861632070000001</v>
      </c>
      <c r="J8">
        <v>600</v>
      </c>
    </row>
    <row r="9" spans="1:13" x14ac:dyDescent="0.2">
      <c r="A9" s="3">
        <v>3.5000000000000003E-2</v>
      </c>
      <c r="B9">
        <v>3.5822213000000001E-3</v>
      </c>
      <c r="C9">
        <v>2.5833165700000001E-2</v>
      </c>
      <c r="D9">
        <v>0.1607269912</v>
      </c>
      <c r="E9" s="5">
        <f t="shared" si="0"/>
        <v>2.2287615000161839E-2</v>
      </c>
      <c r="F9">
        <v>0.90271975999999998</v>
      </c>
      <c r="G9">
        <v>6.5099577532000001</v>
      </c>
      <c r="H9">
        <v>2.5514618855000002</v>
      </c>
      <c r="I9">
        <v>0.34596627330000002</v>
      </c>
      <c r="J9">
        <v>600</v>
      </c>
    </row>
    <row r="10" spans="1:13" x14ac:dyDescent="0.2">
      <c r="A10" s="3">
        <v>0.04</v>
      </c>
      <c r="B10">
        <v>3.8109843E-3</v>
      </c>
      <c r="C10">
        <v>3.3581356700000002E-2</v>
      </c>
      <c r="D10">
        <v>0.18325216699999999</v>
      </c>
      <c r="E10" s="5">
        <f t="shared" si="0"/>
        <v>2.07963941839771E-2</v>
      </c>
      <c r="F10">
        <v>0.96036805039999995</v>
      </c>
      <c r="G10">
        <v>8.4625018923000006</v>
      </c>
      <c r="H10">
        <v>2.9090379668000002</v>
      </c>
      <c r="I10">
        <v>0.32325740019999999</v>
      </c>
      <c r="J10">
        <v>600</v>
      </c>
    </row>
    <row r="11" spans="1:13" x14ac:dyDescent="0.2">
      <c r="A11" s="3">
        <v>4.4999999999999998E-2</v>
      </c>
      <c r="B11">
        <v>4.1172390999999996E-3</v>
      </c>
      <c r="C11">
        <v>4.2507008700000001E-2</v>
      </c>
      <c r="D11">
        <v>0.20617227930000001</v>
      </c>
      <c r="E11" s="5">
        <f t="shared" si="0"/>
        <v>1.9969896602874678E-2</v>
      </c>
      <c r="F11">
        <v>1.0375442646999999</v>
      </c>
      <c r="G11">
        <v>10.7117662026</v>
      </c>
      <c r="H11">
        <v>3.2728834690999999</v>
      </c>
      <c r="I11">
        <v>0.31090146480000003</v>
      </c>
      <c r="J11">
        <v>600</v>
      </c>
    </row>
    <row r="12" spans="1:13" x14ac:dyDescent="0.2">
      <c r="A12" s="3">
        <v>0.05</v>
      </c>
      <c r="B12">
        <v>4.3647855000000001E-3</v>
      </c>
      <c r="C12">
        <v>5.2484813999999998E-2</v>
      </c>
      <c r="D12">
        <v>0.22909564369999999</v>
      </c>
      <c r="E12" s="5">
        <f t="shared" si="0"/>
        <v>1.9052241367433737E-2</v>
      </c>
      <c r="F12">
        <v>1.0999259419</v>
      </c>
      <c r="G12">
        <v>13.2261731207</v>
      </c>
      <c r="H12">
        <v>3.6367805984000001</v>
      </c>
      <c r="I12">
        <v>0.2969455849</v>
      </c>
      <c r="J12">
        <v>600</v>
      </c>
    </row>
    <row r="13" spans="1:13" x14ac:dyDescent="0.2">
      <c r="A13" s="3">
        <v>5.5E-2</v>
      </c>
      <c r="B13">
        <v>4.7151722000000002E-3</v>
      </c>
      <c r="C13">
        <v>6.3524569099999997E-2</v>
      </c>
      <c r="D13">
        <v>0.25204080839999998</v>
      </c>
      <c r="E13" s="5">
        <f t="shared" si="0"/>
        <v>1.8707971260419114E-2</v>
      </c>
      <c r="F13">
        <v>1.1882233988999999</v>
      </c>
      <c r="G13">
        <v>16.008191411599999</v>
      </c>
      <c r="H13">
        <v>4.0010237954000001</v>
      </c>
      <c r="I13">
        <v>0.2919811175</v>
      </c>
      <c r="J13">
        <v>600</v>
      </c>
    </row>
    <row r="14" spans="1:13" x14ac:dyDescent="0.2">
      <c r="A14" s="3">
        <v>0.06</v>
      </c>
      <c r="B14">
        <v>4.9389630000000002E-3</v>
      </c>
      <c r="C14">
        <v>7.5604476399999995E-2</v>
      </c>
      <c r="D14">
        <v>0.2749626818</v>
      </c>
      <c r="E14" s="5">
        <f t="shared" si="0"/>
        <v>1.7962302984782717E-2</v>
      </c>
      <c r="F14">
        <v>1.2446186808999999</v>
      </c>
      <c r="G14">
        <v>19.052328042999999</v>
      </c>
      <c r="H14">
        <v>4.3648972545999998</v>
      </c>
      <c r="I14">
        <v>0.28056071179999997</v>
      </c>
      <c r="J14">
        <v>600</v>
      </c>
    </row>
    <row r="15" spans="1:13" x14ac:dyDescent="0.2">
      <c r="A15" s="3">
        <v>6.5000000000000002E-2</v>
      </c>
      <c r="B15">
        <v>5.1476394999999996E-3</v>
      </c>
      <c r="C15">
        <v>8.8750499299999994E-2</v>
      </c>
      <c r="D15">
        <v>0.29791022020000002</v>
      </c>
      <c r="E15" s="5">
        <f t="shared" si="0"/>
        <v>1.7279163825075106E-2</v>
      </c>
      <c r="F15">
        <v>1.2972051621</v>
      </c>
      <c r="G15">
        <v>22.365125820700001</v>
      </c>
      <c r="H15">
        <v>4.7291781336999996</v>
      </c>
      <c r="I15">
        <v>0.27006915920000002</v>
      </c>
      <c r="J15">
        <v>600</v>
      </c>
    </row>
    <row r="16" spans="1:13" x14ac:dyDescent="0.2">
      <c r="A16" s="3">
        <v>7.0000000000000007E-2</v>
      </c>
      <c r="B16">
        <v>5.5494065000000004E-3</v>
      </c>
      <c r="C16">
        <v>0.1031195845</v>
      </c>
      <c r="D16">
        <v>0.32112238250000003</v>
      </c>
      <c r="E16" s="5">
        <f t="shared" si="0"/>
        <v>1.7281282160392542E-2</v>
      </c>
      <c r="F16">
        <v>1.3984504411000001</v>
      </c>
      <c r="G16">
        <v>25.986135300099999</v>
      </c>
      <c r="H16">
        <v>5.0976597866000004</v>
      </c>
      <c r="I16">
        <v>0.2704084813</v>
      </c>
      <c r="J16">
        <v>600</v>
      </c>
    </row>
    <row r="17" spans="1:10" x14ac:dyDescent="0.2">
      <c r="A17" s="3">
        <v>7.4999999999999997E-2</v>
      </c>
      <c r="B17">
        <v>5.6071263999999997E-3</v>
      </c>
      <c r="C17">
        <v>0.1179285249</v>
      </c>
      <c r="D17">
        <v>0.34340722899999998</v>
      </c>
      <c r="E17" s="5">
        <f t="shared" si="0"/>
        <v>1.6327921856298489E-2</v>
      </c>
      <c r="F17">
        <v>1.412995861</v>
      </c>
      <c r="G17">
        <v>29.7179882788</v>
      </c>
      <c r="H17">
        <v>5.4514207578000002</v>
      </c>
      <c r="I17">
        <v>0.25552895710000001</v>
      </c>
      <c r="J17">
        <v>600</v>
      </c>
    </row>
    <row r="18" spans="1:10" x14ac:dyDescent="0.2">
      <c r="A18" s="3">
        <v>0.08</v>
      </c>
      <c r="B18">
        <v>6.5800006000000001E-3</v>
      </c>
      <c r="C18">
        <v>0.13484806490000001</v>
      </c>
      <c r="D18">
        <v>0.36721664570000001</v>
      </c>
      <c r="E18" s="5">
        <f t="shared" si="0"/>
        <v>1.7918579337428985E-2</v>
      </c>
      <c r="F18">
        <v>1.6581601421000001</v>
      </c>
      <c r="G18">
        <v>33.981712342900003</v>
      </c>
      <c r="H18">
        <v>5.8293835303000003</v>
      </c>
      <c r="I18">
        <v>0.28101773260000001</v>
      </c>
      <c r="J18">
        <v>600</v>
      </c>
    </row>
    <row r="19" spans="1:10" x14ac:dyDescent="0.2">
      <c r="A19" s="3">
        <v>8.5000000000000006E-2</v>
      </c>
      <c r="B19">
        <v>6.2896901999999998E-3</v>
      </c>
      <c r="C19">
        <v>0.1522037617</v>
      </c>
      <c r="D19">
        <v>0.39013300509999999</v>
      </c>
      <c r="E19" s="5">
        <f t="shared" si="0"/>
        <v>1.6121912572836048E-2</v>
      </c>
      <c r="F19">
        <v>1.5850019333000001</v>
      </c>
      <c r="G19">
        <v>38.355347941399998</v>
      </c>
      <c r="H19">
        <v>6.1931694584999999</v>
      </c>
      <c r="I19">
        <v>0.25269806420000002</v>
      </c>
      <c r="J19">
        <v>600</v>
      </c>
    </row>
    <row r="20" spans="1:10" x14ac:dyDescent="0.2">
      <c r="A20" s="3">
        <v>0.09</v>
      </c>
      <c r="B20">
        <v>6.4405013999999997E-3</v>
      </c>
      <c r="C20">
        <v>0.1690278553</v>
      </c>
      <c r="D20">
        <v>0.41112997369999998</v>
      </c>
      <c r="E20" s="5">
        <f t="shared" si="0"/>
        <v>1.5665365728599515E-2</v>
      </c>
      <c r="F20">
        <v>1.6230063614000001</v>
      </c>
      <c r="G20">
        <v>42.5950195343</v>
      </c>
      <c r="H20">
        <v>6.5264860020000004</v>
      </c>
      <c r="I20">
        <v>0.24561553659999999</v>
      </c>
      <c r="J20">
        <v>600</v>
      </c>
    </row>
    <row r="21" spans="1:10" x14ac:dyDescent="0.2">
      <c r="A21" s="3">
        <v>9.5000000000000001E-2</v>
      </c>
      <c r="B21">
        <v>6.9332858000000002E-3</v>
      </c>
      <c r="C21">
        <v>0.19032766340000001</v>
      </c>
      <c r="D21">
        <v>0.43626558809999999</v>
      </c>
      <c r="E21" s="5">
        <f t="shared" si="0"/>
        <v>1.5892350873227171E-2</v>
      </c>
      <c r="F21">
        <v>1.7471880150000001</v>
      </c>
      <c r="G21">
        <v>47.962571170300002</v>
      </c>
      <c r="H21">
        <v>6.9255015104000002</v>
      </c>
      <c r="I21">
        <v>0.24939537049999999</v>
      </c>
      <c r="J21">
        <v>600</v>
      </c>
    </row>
    <row r="22" spans="1:10" x14ac:dyDescent="0.2">
      <c r="A22" s="3">
        <v>0.1</v>
      </c>
      <c r="B22">
        <v>9.8418466000000007E-3</v>
      </c>
      <c r="C22">
        <v>0.2105370577</v>
      </c>
      <c r="D22">
        <v>0.45884317330000002</v>
      </c>
      <c r="E22" s="5">
        <f t="shared" si="0"/>
        <v>2.14492601670794E-2</v>
      </c>
      <c r="F22">
        <v>2.4801453459</v>
      </c>
      <c r="G22">
        <v>53.055338537799997</v>
      </c>
      <c r="H22">
        <v>7.2839095641</v>
      </c>
      <c r="I22">
        <v>0.33775067139999998</v>
      </c>
      <c r="J22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7866-7CDB-1A4C-AB80-834C5E28235F}">
  <dimension ref="A1:J22"/>
  <sheetViews>
    <sheetView workbookViewId="0">
      <selection activeCell="L12" sqref="L12"/>
    </sheetView>
  </sheetViews>
  <sheetFormatPr baseColWidth="10" defaultRowHeight="16" x14ac:dyDescent="0.2"/>
  <cols>
    <col min="1" max="1" width="10.83203125" style="3"/>
    <col min="2" max="6" width="11.6640625" bestFit="1" customWidth="1"/>
    <col min="7" max="7" width="12.6640625" bestFit="1" customWidth="1"/>
    <col min="8" max="9" width="11.6640625" bestFit="1" customWidth="1"/>
  </cols>
  <sheetData>
    <row r="1" spans="1:10" s="1" customFormat="1" ht="51" x14ac:dyDescent="0.2">
      <c r="A1" s="6" t="s">
        <v>9</v>
      </c>
      <c r="B1" s="1" t="s">
        <v>10</v>
      </c>
      <c r="C1" s="1" t="s">
        <v>1</v>
      </c>
      <c r="D1" s="1" t="s">
        <v>2</v>
      </c>
      <c r="E1" s="1" t="s">
        <v>8</v>
      </c>
      <c r="F1" s="1" t="s">
        <v>11</v>
      </c>
      <c r="G1" s="1" t="s">
        <v>4</v>
      </c>
      <c r="H1" s="1" t="s">
        <v>5</v>
      </c>
      <c r="I1" s="1" t="s">
        <v>6</v>
      </c>
      <c r="J1" s="9" t="s">
        <v>12</v>
      </c>
    </row>
    <row r="2" spans="1:10" x14ac:dyDescent="0.2">
      <c r="A2" s="3">
        <v>0</v>
      </c>
      <c r="B2" s="8">
        <v>1.4440646000000001E-3</v>
      </c>
      <c r="C2" s="8">
        <v>1.1879604E-3</v>
      </c>
      <c r="D2" s="8">
        <v>3.4466801900000003E-2</v>
      </c>
      <c r="E2" s="7">
        <v>3.9594608301471698E-2</v>
      </c>
      <c r="F2" s="3">
        <v>0.3639042669</v>
      </c>
      <c r="G2" s="3">
        <v>0.29936602950000002</v>
      </c>
      <c r="H2" s="3">
        <v>0.54714351819999996</v>
      </c>
      <c r="I2" s="7">
        <v>0.62854489810000003</v>
      </c>
      <c r="J2" s="10">
        <v>1.647980324871622</v>
      </c>
    </row>
    <row r="3" spans="1:10" x14ac:dyDescent="0.2">
      <c r="A3" s="3">
        <v>5.0000000000000001E-3</v>
      </c>
      <c r="B3" s="8">
        <v>2.0031605000000001E-3</v>
      </c>
      <c r="C3" s="8">
        <v>1.4699958E-3</v>
      </c>
      <c r="D3" s="8">
        <v>3.8340524100000002E-2</v>
      </c>
      <c r="E3" s="7">
        <v>5.2246560187214554E-2</v>
      </c>
      <c r="F3" s="3">
        <v>0.50479644680000002</v>
      </c>
      <c r="G3" s="3">
        <v>0.37043893820000001</v>
      </c>
      <c r="H3" s="3">
        <v>0.60863695110000005</v>
      </c>
      <c r="I3" s="7">
        <v>0.79652812070000001</v>
      </c>
      <c r="J3" s="10">
        <v>2.1172541501071946</v>
      </c>
    </row>
    <row r="4" spans="1:10" x14ac:dyDescent="0.2">
      <c r="A4" s="3">
        <v>0.01</v>
      </c>
      <c r="B4" s="8">
        <v>2.1705337999999999E-3</v>
      </c>
      <c r="C4" s="8">
        <v>2.8538459000000001E-3</v>
      </c>
      <c r="D4" s="8">
        <v>5.3421399199999997E-2</v>
      </c>
      <c r="E4" s="7">
        <v>4.0630418381104476E-2</v>
      </c>
      <c r="F4" s="3">
        <v>0.546974513</v>
      </c>
      <c r="G4" s="3">
        <v>0.71916916379999996</v>
      </c>
      <c r="H4" s="3">
        <v>0.84803842119999995</v>
      </c>
      <c r="I4" s="7">
        <v>0.6214040542</v>
      </c>
      <c r="J4" s="10">
        <v>1.5292000862178907</v>
      </c>
    </row>
    <row r="5" spans="1:10" x14ac:dyDescent="0.2">
      <c r="A5" s="3">
        <v>1.4999999999999999E-2</v>
      </c>
      <c r="B5" s="8">
        <v>2.4944566000000001E-3</v>
      </c>
      <c r="C5" s="8">
        <v>5.2901555000000001E-3</v>
      </c>
      <c r="D5" s="8">
        <v>7.2733455500000002E-2</v>
      </c>
      <c r="E5" s="7">
        <v>3.4295862651541421E-2</v>
      </c>
      <c r="F5" s="3">
        <v>0.62860305890000001</v>
      </c>
      <c r="G5" s="3">
        <v>1.3331191972000001</v>
      </c>
      <c r="H5" s="3">
        <v>1.154607811</v>
      </c>
      <c r="I5" s="7">
        <v>0.52710803880000001</v>
      </c>
      <c r="J5" s="10">
        <v>0.86430492811499593</v>
      </c>
    </row>
    <row r="6" spans="1:10" x14ac:dyDescent="0.2">
      <c r="A6" s="3">
        <v>0.02</v>
      </c>
      <c r="B6" s="8">
        <v>2.7172806000000001E-3</v>
      </c>
      <c r="C6" s="8">
        <v>8.7897901000000001E-3</v>
      </c>
      <c r="D6" s="8">
        <v>9.3753880299999995E-2</v>
      </c>
      <c r="E6" s="7">
        <v>2.8983126792246489E-2</v>
      </c>
      <c r="F6" s="3">
        <v>0.68475471919999997</v>
      </c>
      <c r="G6" s="3">
        <v>2.2150270957</v>
      </c>
      <c r="H6" s="3">
        <v>1.4882967094999999</v>
      </c>
      <c r="I6" s="7">
        <v>0.44665469930000001</v>
      </c>
      <c r="J6" s="10">
        <v>0.31657908416305514</v>
      </c>
    </row>
    <row r="7" spans="1:10" x14ac:dyDescent="0.2">
      <c r="A7" s="3">
        <v>2.5000000000000001E-2</v>
      </c>
      <c r="B7" s="8">
        <v>3.0709786E-3</v>
      </c>
      <c r="C7" s="8">
        <v>1.3435823E-2</v>
      </c>
      <c r="D7" s="8">
        <v>0.1159129974</v>
      </c>
      <c r="E7" s="7">
        <v>2.649382441041077E-2</v>
      </c>
      <c r="F7" s="3">
        <v>0.77388661140000004</v>
      </c>
      <c r="G7" s="3">
        <v>3.3858273854999998</v>
      </c>
      <c r="H7" s="3">
        <v>1.8400617884999999</v>
      </c>
      <c r="I7" s="7">
        <v>0.4097072262</v>
      </c>
      <c r="J7" s="10">
        <v>7.9443089044383214E-2</v>
      </c>
    </row>
    <row r="8" spans="1:10" x14ac:dyDescent="0.2">
      <c r="A8" s="3">
        <v>0.03</v>
      </c>
      <c r="B8" s="8">
        <v>3.3759492000000001E-3</v>
      </c>
      <c r="C8" s="8">
        <v>1.9104259799999999E-2</v>
      </c>
      <c r="D8" s="8">
        <v>0.13821816000000001</v>
      </c>
      <c r="E8" s="7">
        <v>2.4424787596651554E-2</v>
      </c>
      <c r="F8" s="3">
        <v>0.85073920859999996</v>
      </c>
      <c r="G8" s="3">
        <v>4.8142734575999997</v>
      </c>
      <c r="H8" s="3">
        <v>2.1941452681000002</v>
      </c>
      <c r="I8" s="7">
        <v>0.37861632070000001</v>
      </c>
      <c r="J8" s="10">
        <v>1.0820124242143188E-2</v>
      </c>
    </row>
    <row r="9" spans="1:10" x14ac:dyDescent="0.2">
      <c r="A9" s="3">
        <v>3.5000000000000003E-2</v>
      </c>
      <c r="B9" s="8">
        <v>3.5822213000000001E-3</v>
      </c>
      <c r="C9" s="8">
        <v>2.5833165700000001E-2</v>
      </c>
      <c r="D9" s="8">
        <v>0.1607269912</v>
      </c>
      <c r="E9" s="7">
        <v>2.2287615000161839E-2</v>
      </c>
      <c r="F9" s="3">
        <v>0.90271975999999998</v>
      </c>
      <c r="G9" s="3">
        <v>6.5099577532000001</v>
      </c>
      <c r="H9" s="3">
        <v>2.5514618855000002</v>
      </c>
      <c r="I9" s="7">
        <v>0.34596627330000002</v>
      </c>
      <c r="J9" s="10">
        <v>3.3796653705609478E-4</v>
      </c>
    </row>
    <row r="10" spans="1:10" x14ac:dyDescent="0.2">
      <c r="A10" s="3">
        <v>0.04</v>
      </c>
      <c r="B10" s="8">
        <v>3.8109843E-3</v>
      </c>
      <c r="C10" s="8">
        <v>3.3581356700000002E-2</v>
      </c>
      <c r="D10" s="8">
        <v>0.18325216699999999</v>
      </c>
      <c r="E10" s="7">
        <v>2.07963941839771E-2</v>
      </c>
      <c r="F10" s="3">
        <v>0.96036805039999995</v>
      </c>
      <c r="G10" s="3">
        <v>8.4625018923000006</v>
      </c>
      <c r="H10" s="3">
        <v>2.9090379668000002</v>
      </c>
      <c r="I10" s="7">
        <v>0.32325740019999999</v>
      </c>
      <c r="J10" s="10">
        <v>-8.9742494834566859E-5</v>
      </c>
    </row>
    <row r="11" spans="1:10" x14ac:dyDescent="0.2">
      <c r="A11" s="3">
        <v>4.4999999999999998E-2</v>
      </c>
      <c r="B11" s="8">
        <v>4.1172390999999996E-3</v>
      </c>
      <c r="C11" s="8">
        <v>4.2507008700000001E-2</v>
      </c>
      <c r="D11" s="8">
        <v>0.20617227930000001</v>
      </c>
      <c r="E11" s="7">
        <v>1.9969896602874678E-2</v>
      </c>
      <c r="F11" s="3">
        <v>1.0375442646999999</v>
      </c>
      <c r="G11" s="3">
        <v>10.7117662026</v>
      </c>
      <c r="H11" s="3">
        <v>3.2728834690999999</v>
      </c>
      <c r="I11" s="7">
        <v>0.31090146480000003</v>
      </c>
      <c r="J11" s="10">
        <v>-6.644885472118125E-6</v>
      </c>
    </row>
    <row r="12" spans="1:10" x14ac:dyDescent="0.2">
      <c r="A12" s="3">
        <v>0.05</v>
      </c>
      <c r="B12" s="8">
        <v>4.3647855000000001E-3</v>
      </c>
      <c r="C12" s="8">
        <v>5.2484813999999998E-2</v>
      </c>
      <c r="D12" s="8">
        <v>0.22909564369999999</v>
      </c>
      <c r="E12" s="7">
        <v>1.9052241367433737E-2</v>
      </c>
      <c r="F12" s="3">
        <v>1.0999259419</v>
      </c>
      <c r="G12" s="3">
        <v>13.2261731207</v>
      </c>
      <c r="H12" s="3">
        <v>3.6367805984000001</v>
      </c>
      <c r="I12" s="7">
        <v>0.2969455849</v>
      </c>
      <c r="J12" s="10">
        <v>5.665634771247783E-7</v>
      </c>
    </row>
    <row r="13" spans="1:10" x14ac:dyDescent="0.2">
      <c r="A13" s="3">
        <v>5.5E-2</v>
      </c>
      <c r="B13" s="8">
        <v>4.7151722000000002E-3</v>
      </c>
      <c r="C13" s="8">
        <v>6.3524569099999997E-2</v>
      </c>
      <c r="D13" s="8">
        <v>0.25204080839999998</v>
      </c>
      <c r="E13" s="7">
        <v>1.8707971260419114E-2</v>
      </c>
      <c r="F13" s="3">
        <v>1.1882233988999999</v>
      </c>
      <c r="G13" s="3">
        <v>16.008191411599999</v>
      </c>
      <c r="H13" s="3">
        <v>4.0010237954000001</v>
      </c>
      <c r="I13" s="7">
        <v>0.2919811175</v>
      </c>
      <c r="J13" s="10">
        <v>5.192118888864698E-8</v>
      </c>
    </row>
    <row r="14" spans="1:10" x14ac:dyDescent="0.2">
      <c r="A14" s="3">
        <v>0.06</v>
      </c>
      <c r="B14" s="8">
        <v>4.9389630000000002E-3</v>
      </c>
      <c r="C14" s="8">
        <v>7.5604476399999995E-2</v>
      </c>
      <c r="D14" s="8">
        <v>0.2749626818</v>
      </c>
      <c r="E14" s="7">
        <v>1.7962302984782717E-2</v>
      </c>
      <c r="F14" s="3">
        <v>1.2446186808999999</v>
      </c>
      <c r="G14" s="3">
        <v>19.052328042999999</v>
      </c>
      <c r="H14" s="3">
        <v>4.3648972545999998</v>
      </c>
      <c r="I14" s="7">
        <v>0.28056071179999997</v>
      </c>
      <c r="J14" s="10">
        <v>-1.3675117174727392E-9</v>
      </c>
    </row>
    <row r="15" spans="1:10" x14ac:dyDescent="0.2">
      <c r="A15" s="3">
        <v>6.5000000000000002E-2</v>
      </c>
      <c r="B15" s="8">
        <v>5.1476394999999996E-3</v>
      </c>
      <c r="C15" s="8">
        <v>8.8750499299999994E-2</v>
      </c>
      <c r="D15" s="8">
        <v>0.29791022020000002</v>
      </c>
      <c r="E15" s="7">
        <v>1.7279163825075106E-2</v>
      </c>
      <c r="F15" s="3">
        <v>1.2972051621</v>
      </c>
      <c r="G15" s="3">
        <v>22.365125820700001</v>
      </c>
      <c r="H15" s="3">
        <v>4.7291781336999996</v>
      </c>
      <c r="I15" s="7">
        <v>0.27006915920000002</v>
      </c>
      <c r="J15" s="10">
        <v>-1.2696208736932383E-10</v>
      </c>
    </row>
    <row r="16" spans="1:10" x14ac:dyDescent="0.2">
      <c r="A16" s="3">
        <v>7.0000000000000007E-2</v>
      </c>
      <c r="B16" s="8">
        <v>5.5494065000000004E-3</v>
      </c>
      <c r="C16" s="8">
        <v>0.1031195845</v>
      </c>
      <c r="D16" s="8">
        <v>0.32112238250000003</v>
      </c>
      <c r="E16" s="7">
        <v>1.7281282160392542E-2</v>
      </c>
      <c r="F16" s="3">
        <v>1.3984504411000001</v>
      </c>
      <c r="G16" s="3">
        <v>25.986135300099999</v>
      </c>
      <c r="H16" s="3">
        <v>5.0976597866000004</v>
      </c>
      <c r="I16" s="7">
        <v>0.2704084813</v>
      </c>
      <c r="J16" s="10">
        <v>-8.9252290024148542E-13</v>
      </c>
    </row>
    <row r="17" spans="1:10" x14ac:dyDescent="0.2">
      <c r="A17" s="3">
        <v>7.4999999999999997E-2</v>
      </c>
      <c r="B17" s="8">
        <v>5.6071263999999997E-3</v>
      </c>
      <c r="C17" s="8">
        <v>0.1179285249</v>
      </c>
      <c r="D17" s="8">
        <v>0.34340722899999998</v>
      </c>
      <c r="E17" s="7">
        <v>1.6327921856298489E-2</v>
      </c>
      <c r="F17" s="3">
        <v>1.412995861</v>
      </c>
      <c r="G17" s="3">
        <v>29.7179882788</v>
      </c>
      <c r="H17" s="3">
        <v>5.4514207578000002</v>
      </c>
      <c r="I17" s="7">
        <v>0.25552895710000001</v>
      </c>
      <c r="J17" s="10">
        <v>1.0011862308919456E-15</v>
      </c>
    </row>
    <row r="18" spans="1:10" x14ac:dyDescent="0.2">
      <c r="A18" s="3">
        <v>0.08</v>
      </c>
      <c r="B18" s="8">
        <v>6.5800006000000001E-3</v>
      </c>
      <c r="C18" s="8">
        <v>0.13484806490000001</v>
      </c>
      <c r="D18" s="8">
        <v>0.36721664570000001</v>
      </c>
      <c r="E18" s="7">
        <v>1.7918579337428985E-2</v>
      </c>
      <c r="F18" s="3">
        <v>1.6581601421000001</v>
      </c>
      <c r="G18" s="3">
        <v>33.981712342900003</v>
      </c>
      <c r="H18" s="3">
        <v>5.8293835303000003</v>
      </c>
      <c r="I18" s="7">
        <v>0.28101773260000001</v>
      </c>
      <c r="J18" s="10">
        <v>2.9826363744607104E-17</v>
      </c>
    </row>
    <row r="19" spans="1:10" x14ac:dyDescent="0.2">
      <c r="A19" s="3">
        <v>8.5000000000000006E-2</v>
      </c>
      <c r="B19" s="8">
        <v>6.2896901999999998E-3</v>
      </c>
      <c r="C19" s="8">
        <v>0.1522037617</v>
      </c>
      <c r="D19" s="8">
        <v>0.39013300509999999</v>
      </c>
      <c r="E19" s="7">
        <v>1.6121912572836048E-2</v>
      </c>
      <c r="F19" s="3">
        <v>1.5850019333000001</v>
      </c>
      <c r="G19" s="3">
        <v>38.355347941399998</v>
      </c>
      <c r="H19" s="3">
        <v>6.1931694584999999</v>
      </c>
      <c r="I19" s="7">
        <v>0.25269806420000002</v>
      </c>
      <c r="J19" s="10">
        <v>2.2141522613867444E-19</v>
      </c>
    </row>
    <row r="20" spans="1:10" x14ac:dyDescent="0.2">
      <c r="A20" s="3">
        <v>0.09</v>
      </c>
      <c r="B20" s="8">
        <v>6.4405013999999997E-3</v>
      </c>
      <c r="C20" s="8">
        <v>0.1690278553</v>
      </c>
      <c r="D20" s="8">
        <v>0.41112997369999998</v>
      </c>
      <c r="E20" s="7">
        <v>1.5665365728599515E-2</v>
      </c>
      <c r="F20" s="3">
        <v>1.6230063614000001</v>
      </c>
      <c r="G20" s="3">
        <v>42.5950195343</v>
      </c>
      <c r="H20" s="3">
        <v>6.5264860020000004</v>
      </c>
      <c r="I20" s="7">
        <v>0.24561553659999999</v>
      </c>
      <c r="J20" s="10">
        <v>8.6573893846692406E-20</v>
      </c>
    </row>
    <row r="21" spans="1:10" x14ac:dyDescent="0.2">
      <c r="A21" s="3">
        <v>9.5000000000000001E-2</v>
      </c>
      <c r="B21" s="8">
        <v>6.9332858000000002E-3</v>
      </c>
      <c r="C21" s="8">
        <v>0.19032766340000001</v>
      </c>
      <c r="D21" s="8">
        <v>0.43626558809999999</v>
      </c>
      <c r="E21" s="7">
        <v>1.5892350873227171E-2</v>
      </c>
      <c r="F21" s="3">
        <v>1.7471880150000001</v>
      </c>
      <c r="G21" s="3">
        <v>47.962571170300002</v>
      </c>
      <c r="H21" s="3">
        <v>6.9255015104000002</v>
      </c>
      <c r="I21" s="7">
        <v>0.24939537049999999</v>
      </c>
      <c r="J21" s="10">
        <v>2.2720071939880024E-21</v>
      </c>
    </row>
    <row r="22" spans="1:10" x14ac:dyDescent="0.2">
      <c r="A22" s="3">
        <v>0.1</v>
      </c>
      <c r="B22" s="8">
        <v>9.8418466000000007E-3</v>
      </c>
      <c r="C22" s="8">
        <v>0.2105370577</v>
      </c>
      <c r="D22" s="8">
        <v>0.45884317330000002</v>
      </c>
      <c r="E22" s="7">
        <v>2.14492601670794E-2</v>
      </c>
      <c r="F22" s="3">
        <v>2.4801453459</v>
      </c>
      <c r="G22" s="3">
        <v>53.055338537799997</v>
      </c>
      <c r="H22" s="3">
        <v>7.2839095641</v>
      </c>
      <c r="I22" s="7">
        <v>0.33775067139999998</v>
      </c>
      <c r="J22" s="10">
        <v>-1.3625292396411538E-22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6AD6-0F0E-B24C-9819-5382C0947FB7}">
  <dimension ref="A1:M22"/>
  <sheetViews>
    <sheetView workbookViewId="0">
      <selection activeCell="D2" sqref="D2:D22"/>
    </sheetView>
  </sheetViews>
  <sheetFormatPr baseColWidth="10" defaultRowHeight="16" x14ac:dyDescent="0.2"/>
  <cols>
    <col min="1" max="1" width="10.83203125" style="3"/>
    <col min="2" max="5" width="11.6640625" bestFit="1" customWidth="1"/>
    <col min="6" max="6" width="12.6640625" bestFit="1" customWidth="1"/>
    <col min="7" max="7" width="11.6640625" bestFit="1" customWidth="1"/>
    <col min="9" max="11" width="11.6640625" bestFit="1" customWidth="1"/>
  </cols>
  <sheetData>
    <row r="1" spans="1:13" s="1" customFormat="1" ht="51" x14ac:dyDescent="0.2">
      <c r="A1" s="6" t="s">
        <v>9</v>
      </c>
      <c r="B1" s="1" t="s">
        <v>10</v>
      </c>
      <c r="C1" s="1" t="s">
        <v>1</v>
      </c>
      <c r="D1" s="1" t="s">
        <v>2</v>
      </c>
      <c r="E1" s="1" t="s">
        <v>8</v>
      </c>
      <c r="F1" s="1" t="s">
        <v>4</v>
      </c>
      <c r="G1" s="1" t="s">
        <v>5</v>
      </c>
      <c r="H1" s="9" t="s">
        <v>12</v>
      </c>
      <c r="I1" s="1" t="s">
        <v>11</v>
      </c>
      <c r="J1" s="1" t="s">
        <v>16</v>
      </c>
      <c r="L1" s="1" t="s">
        <v>13</v>
      </c>
      <c r="M1" s="1" t="s">
        <v>14</v>
      </c>
    </row>
    <row r="2" spans="1:13" x14ac:dyDescent="0.2">
      <c r="A2" s="3">
        <v>0</v>
      </c>
      <c r="B2" s="8">
        <v>1.4440646000000001E-3</v>
      </c>
      <c r="C2" s="8">
        <v>1.1879604E-3</v>
      </c>
      <c r="D2" s="8">
        <v>3.4466801900000003E-2</v>
      </c>
      <c r="E2" s="7">
        <v>3.9594608301471698E-2</v>
      </c>
      <c r="F2" s="3">
        <v>0.29936602950000002</v>
      </c>
      <c r="G2" s="3">
        <v>0.54714351819999996</v>
      </c>
      <c r="H2" s="10">
        <v>0.64798032487162205</v>
      </c>
      <c r="I2" s="3">
        <f>(1+H2)^(1/L$2)-1</f>
        <v>0.23344517203874515</v>
      </c>
      <c r="J2" s="7">
        <f>(I2-M2)/G2</f>
        <v>0.39010819819439685</v>
      </c>
      <c r="L2" s="1">
        <f>600/252</f>
        <v>2.3809523809523809</v>
      </c>
      <c r="M2" s="1">
        <v>0.02</v>
      </c>
    </row>
    <row r="3" spans="1:13" x14ac:dyDescent="0.2">
      <c r="A3" s="3">
        <v>5.0000000000000001E-3</v>
      </c>
      <c r="B3" s="8">
        <v>2.0031605000000001E-3</v>
      </c>
      <c r="C3" s="8">
        <v>1.4699958E-3</v>
      </c>
      <c r="D3" s="8">
        <v>3.8340524100000002E-2</v>
      </c>
      <c r="E3" s="7">
        <v>5.2246560187214554E-2</v>
      </c>
      <c r="F3" s="3">
        <v>0.37043893820000001</v>
      </c>
      <c r="G3" s="3">
        <v>0.60863695110000005</v>
      </c>
      <c r="H3" s="10">
        <v>1.1172541501071946</v>
      </c>
      <c r="I3" s="3">
        <f t="shared" ref="I3:I22" si="0">(1+H3)^(1/L$2)-1</f>
        <v>0.37032839503737813</v>
      </c>
      <c r="J3" s="7">
        <f t="shared" ref="J3:J4" si="1">(I3-M3)/G3</f>
        <v>0.60845532688752668</v>
      </c>
    </row>
    <row r="4" spans="1:13" x14ac:dyDescent="0.2">
      <c r="A4" s="3">
        <v>0.01</v>
      </c>
      <c r="B4" s="8">
        <v>2.1705337999999999E-3</v>
      </c>
      <c r="C4" s="8">
        <v>2.8538459000000001E-3</v>
      </c>
      <c r="D4" s="8">
        <v>5.3421399199999997E-2</v>
      </c>
      <c r="E4" s="7">
        <v>4.0630418381104476E-2</v>
      </c>
      <c r="F4" s="3">
        <v>0.71916916379999996</v>
      </c>
      <c r="G4" s="3">
        <v>0.84803842119999995</v>
      </c>
      <c r="H4" s="10">
        <v>0.52920008621789072</v>
      </c>
      <c r="I4" s="3">
        <f t="shared" si="0"/>
        <v>0.19529474950219528</v>
      </c>
      <c r="J4" s="7">
        <f t="shared" si="1"/>
        <v>0.23028997816613936</v>
      </c>
    </row>
    <row r="5" spans="1:13" x14ac:dyDescent="0.2">
      <c r="A5" s="3">
        <v>1.4999999999999999E-2</v>
      </c>
      <c r="B5" s="8">
        <v>2.4944566000000001E-3</v>
      </c>
      <c r="C5" s="8">
        <v>5.2901555000000001E-3</v>
      </c>
      <c r="D5" s="8">
        <v>7.2733455500000002E-2</v>
      </c>
      <c r="E5" s="7">
        <v>3.4295862651541421E-2</v>
      </c>
      <c r="F5" s="3">
        <v>1.3331191972000001</v>
      </c>
      <c r="G5" s="3">
        <v>1.154607811</v>
      </c>
      <c r="H5" s="10">
        <v>-0.13569507188500407</v>
      </c>
      <c r="I5" s="3">
        <f t="shared" si="0"/>
        <v>-5.9410480115836495E-2</v>
      </c>
      <c r="J5" s="11" t="s">
        <v>15</v>
      </c>
    </row>
    <row r="6" spans="1:13" x14ac:dyDescent="0.2">
      <c r="A6" s="3">
        <v>0.02</v>
      </c>
      <c r="B6" s="8">
        <v>2.7172806000000001E-3</v>
      </c>
      <c r="C6" s="8">
        <v>8.7897901000000001E-3</v>
      </c>
      <c r="D6" s="8">
        <v>9.3753880299999995E-2</v>
      </c>
      <c r="E6" s="7">
        <v>2.8983126792246489E-2</v>
      </c>
      <c r="F6" s="3">
        <v>2.2150270957</v>
      </c>
      <c r="G6" s="3">
        <v>1.4882967094999999</v>
      </c>
      <c r="H6" s="10">
        <v>-0.68342091583694486</v>
      </c>
      <c r="I6" s="3">
        <f t="shared" si="0"/>
        <v>-0.38311738414576091</v>
      </c>
      <c r="J6" s="11" t="s">
        <v>15</v>
      </c>
    </row>
    <row r="7" spans="1:13" x14ac:dyDescent="0.2">
      <c r="A7" s="3">
        <v>2.5000000000000001E-2</v>
      </c>
      <c r="B7" s="8">
        <v>3.0709786E-3</v>
      </c>
      <c r="C7" s="8">
        <v>1.3435823E-2</v>
      </c>
      <c r="D7" s="8">
        <v>0.1159129974</v>
      </c>
      <c r="E7" s="7">
        <v>2.649382441041077E-2</v>
      </c>
      <c r="F7" s="3">
        <v>3.3858273854999998</v>
      </c>
      <c r="G7" s="3">
        <v>1.8400617884999999</v>
      </c>
      <c r="H7" s="10">
        <v>-0.92055691095561676</v>
      </c>
      <c r="I7" s="3">
        <f t="shared" si="0"/>
        <v>-0.65483752728313949</v>
      </c>
      <c r="J7" s="11" t="s">
        <v>15</v>
      </c>
    </row>
    <row r="8" spans="1:13" x14ac:dyDescent="0.2">
      <c r="A8" s="3">
        <v>0.03</v>
      </c>
      <c r="B8" s="8">
        <v>3.3759492000000001E-3</v>
      </c>
      <c r="C8" s="8">
        <v>1.9104259799999999E-2</v>
      </c>
      <c r="D8" s="8">
        <v>0.13821816000000001</v>
      </c>
      <c r="E8" s="7">
        <v>2.4424787596651554E-2</v>
      </c>
      <c r="F8" s="3">
        <v>4.8142734575999997</v>
      </c>
      <c r="G8" s="3">
        <v>2.1941452681000002</v>
      </c>
      <c r="H8" s="10">
        <v>-0.98917987575785682</v>
      </c>
      <c r="I8" s="3">
        <f t="shared" si="0"/>
        <v>-0.85059072994635698</v>
      </c>
      <c r="J8" s="11" t="s">
        <v>15</v>
      </c>
    </row>
    <row r="9" spans="1:13" x14ac:dyDescent="0.2">
      <c r="A9" s="3">
        <v>3.5000000000000003E-2</v>
      </c>
      <c r="B9" s="8">
        <v>3.5822213000000001E-3</v>
      </c>
      <c r="C9" s="8">
        <v>2.5833165700000001E-2</v>
      </c>
      <c r="D9" s="8">
        <v>0.1607269912</v>
      </c>
      <c r="E9" s="7">
        <v>2.2287615000161839E-2</v>
      </c>
      <c r="F9" s="3">
        <v>6.5099577532000001</v>
      </c>
      <c r="G9" s="3">
        <v>2.5514618855000002</v>
      </c>
      <c r="H9" s="10">
        <v>-0.99966203346294391</v>
      </c>
      <c r="I9" s="3">
        <f t="shared" si="0"/>
        <v>-0.96515608426830035</v>
      </c>
      <c r="J9" s="11" t="s">
        <v>15</v>
      </c>
    </row>
    <row r="10" spans="1:13" x14ac:dyDescent="0.2">
      <c r="A10" s="3">
        <v>0.04</v>
      </c>
      <c r="B10" s="8">
        <v>3.8109843E-3</v>
      </c>
      <c r="C10" s="8">
        <v>3.3581356700000002E-2</v>
      </c>
      <c r="D10" s="8">
        <v>0.18325216699999999</v>
      </c>
      <c r="E10" s="7">
        <v>2.07963941839771E-2</v>
      </c>
      <c r="F10" s="3">
        <v>8.4625018923000006</v>
      </c>
      <c r="G10" s="3">
        <v>2.9090379668000002</v>
      </c>
      <c r="H10" s="10">
        <v>-1.0000897424948345</v>
      </c>
      <c r="I10" s="3">
        <v>-1</v>
      </c>
      <c r="J10" s="11" t="s">
        <v>15</v>
      </c>
    </row>
    <row r="11" spans="1:13" x14ac:dyDescent="0.2">
      <c r="A11" s="3">
        <v>4.4999999999999998E-2</v>
      </c>
      <c r="B11" s="8">
        <v>4.1172390999999996E-3</v>
      </c>
      <c r="C11" s="8">
        <v>4.2507008700000001E-2</v>
      </c>
      <c r="D11" s="8">
        <v>0.20617227930000001</v>
      </c>
      <c r="E11" s="7">
        <v>1.9969896602874678E-2</v>
      </c>
      <c r="F11" s="3">
        <v>10.7117662026</v>
      </c>
      <c r="G11" s="3">
        <v>3.2728834690999999</v>
      </c>
      <c r="H11" s="10">
        <v>-1.0000066448854721</v>
      </c>
      <c r="I11" s="3">
        <v>-1</v>
      </c>
      <c r="J11" s="11" t="s">
        <v>15</v>
      </c>
    </row>
    <row r="12" spans="1:13" x14ac:dyDescent="0.2">
      <c r="A12" s="3">
        <v>0.05</v>
      </c>
      <c r="B12" s="8">
        <v>4.3647855000000001E-3</v>
      </c>
      <c r="C12" s="8">
        <v>5.2484813999999998E-2</v>
      </c>
      <c r="D12" s="8">
        <v>0.22909564369999999</v>
      </c>
      <c r="E12" s="7">
        <v>1.9052241367433737E-2</v>
      </c>
      <c r="F12" s="3">
        <v>13.2261731207</v>
      </c>
      <c r="G12" s="3">
        <v>3.6367805984000001</v>
      </c>
      <c r="H12" s="10">
        <v>-0.99999943343652287</v>
      </c>
      <c r="I12" s="3">
        <v>-1</v>
      </c>
      <c r="J12" s="11" t="s">
        <v>15</v>
      </c>
    </row>
    <row r="13" spans="1:13" x14ac:dyDescent="0.2">
      <c r="A13" s="3">
        <v>5.5E-2</v>
      </c>
      <c r="B13" s="8">
        <v>4.7151722000000002E-3</v>
      </c>
      <c r="C13" s="8">
        <v>6.3524569099999997E-2</v>
      </c>
      <c r="D13" s="8">
        <v>0.25204080839999998</v>
      </c>
      <c r="E13" s="7">
        <v>1.8707971260419114E-2</v>
      </c>
      <c r="F13" s="3">
        <v>16.008191411599999</v>
      </c>
      <c r="G13" s="3">
        <v>4.0010237954000001</v>
      </c>
      <c r="H13" s="10">
        <v>-0.9999999480788111</v>
      </c>
      <c r="I13" s="3">
        <v>-1</v>
      </c>
      <c r="J13" s="11" t="s">
        <v>15</v>
      </c>
    </row>
    <row r="14" spans="1:13" x14ac:dyDescent="0.2">
      <c r="A14" s="3">
        <v>0.06</v>
      </c>
      <c r="B14" s="8">
        <v>4.9389630000000002E-3</v>
      </c>
      <c r="C14" s="8">
        <v>7.5604476399999995E-2</v>
      </c>
      <c r="D14" s="8">
        <v>0.2749626818</v>
      </c>
      <c r="E14" s="7">
        <v>1.7962302984782717E-2</v>
      </c>
      <c r="F14" s="3">
        <v>19.052328042999999</v>
      </c>
      <c r="G14" s="3">
        <v>4.3648972545999998</v>
      </c>
      <c r="H14" s="10">
        <v>-1.0000000013675117</v>
      </c>
      <c r="I14" s="3">
        <v>-1</v>
      </c>
      <c r="J14" s="11" t="s">
        <v>15</v>
      </c>
    </row>
    <row r="15" spans="1:13" x14ac:dyDescent="0.2">
      <c r="A15" s="3">
        <v>6.5000000000000002E-2</v>
      </c>
      <c r="B15" s="8">
        <v>5.1476394999999996E-3</v>
      </c>
      <c r="C15" s="8">
        <v>8.8750499299999994E-2</v>
      </c>
      <c r="D15" s="8">
        <v>0.29791022020000002</v>
      </c>
      <c r="E15" s="7">
        <v>1.7279163825075106E-2</v>
      </c>
      <c r="F15" s="3">
        <v>22.365125820700001</v>
      </c>
      <c r="G15" s="3">
        <v>4.7291781336999996</v>
      </c>
      <c r="H15" s="10">
        <v>-1.000000000126962</v>
      </c>
      <c r="I15" s="3">
        <v>-1</v>
      </c>
      <c r="J15" s="11" t="s">
        <v>15</v>
      </c>
    </row>
    <row r="16" spans="1:13" x14ac:dyDescent="0.2">
      <c r="A16" s="3">
        <v>7.0000000000000007E-2</v>
      </c>
      <c r="B16" s="8">
        <v>5.5494065000000004E-3</v>
      </c>
      <c r="C16" s="8">
        <v>0.1031195845</v>
      </c>
      <c r="D16" s="8">
        <v>0.32112238250000003</v>
      </c>
      <c r="E16" s="7">
        <v>1.7281282160392542E-2</v>
      </c>
      <c r="F16" s="3">
        <v>25.986135300099999</v>
      </c>
      <c r="G16" s="3">
        <v>5.0976597866000004</v>
      </c>
      <c r="H16" s="10">
        <v>-1.0000000000008926</v>
      </c>
      <c r="I16" s="3">
        <v>-1</v>
      </c>
      <c r="J16" s="11" t="s">
        <v>15</v>
      </c>
    </row>
    <row r="17" spans="1:10" x14ac:dyDescent="0.2">
      <c r="A17" s="3">
        <v>7.4999999999999997E-2</v>
      </c>
      <c r="B17" s="8">
        <v>5.6071263999999997E-3</v>
      </c>
      <c r="C17" s="8">
        <v>0.1179285249</v>
      </c>
      <c r="D17" s="8">
        <v>0.34340722899999998</v>
      </c>
      <c r="E17" s="7">
        <v>1.6327921856298489E-2</v>
      </c>
      <c r="F17" s="3">
        <v>29.7179882788</v>
      </c>
      <c r="G17" s="3">
        <v>5.4514207578000002</v>
      </c>
      <c r="H17" s="10">
        <v>-0.999999999999999</v>
      </c>
      <c r="I17" s="3">
        <v>-1</v>
      </c>
      <c r="J17" s="11" t="s">
        <v>15</v>
      </c>
    </row>
    <row r="18" spans="1:10" x14ac:dyDescent="0.2">
      <c r="A18" s="3">
        <v>0.08</v>
      </c>
      <c r="B18" s="8">
        <v>6.5800006000000001E-3</v>
      </c>
      <c r="C18" s="8">
        <v>0.13484806490000001</v>
      </c>
      <c r="D18" s="8">
        <v>0.36721664570000001</v>
      </c>
      <c r="E18" s="7">
        <v>1.7918579337428985E-2</v>
      </c>
      <c r="F18" s="3">
        <v>33.981712342900003</v>
      </c>
      <c r="G18" s="3">
        <v>5.8293835303000003</v>
      </c>
      <c r="H18" s="10">
        <v>-1</v>
      </c>
      <c r="I18" s="3">
        <v>-1</v>
      </c>
      <c r="J18" s="11" t="s">
        <v>15</v>
      </c>
    </row>
    <row r="19" spans="1:10" x14ac:dyDescent="0.2">
      <c r="A19" s="3">
        <v>8.5000000000000006E-2</v>
      </c>
      <c r="B19" s="8">
        <v>6.2896901999999998E-3</v>
      </c>
      <c r="C19" s="8">
        <v>0.1522037617</v>
      </c>
      <c r="D19" s="8">
        <v>0.39013300509999999</v>
      </c>
      <c r="E19" s="7">
        <v>1.6121912572836048E-2</v>
      </c>
      <c r="F19" s="3">
        <v>38.355347941399998</v>
      </c>
      <c r="G19" s="3">
        <v>6.1931694584999999</v>
      </c>
      <c r="H19" s="10">
        <v>-1</v>
      </c>
      <c r="I19" s="3">
        <v>-1</v>
      </c>
      <c r="J19" s="11" t="s">
        <v>15</v>
      </c>
    </row>
    <row r="20" spans="1:10" x14ac:dyDescent="0.2">
      <c r="A20" s="3">
        <v>0.09</v>
      </c>
      <c r="B20" s="8">
        <v>6.4405013999999997E-3</v>
      </c>
      <c r="C20" s="8">
        <v>0.1690278553</v>
      </c>
      <c r="D20" s="8">
        <v>0.41112997369999998</v>
      </c>
      <c r="E20" s="7">
        <v>1.5665365728599515E-2</v>
      </c>
      <c r="F20" s="3">
        <v>42.5950195343</v>
      </c>
      <c r="G20" s="3">
        <v>6.5264860020000004</v>
      </c>
      <c r="H20" s="10">
        <v>-1</v>
      </c>
      <c r="I20" s="3">
        <v>-1</v>
      </c>
      <c r="J20" s="11" t="s">
        <v>15</v>
      </c>
    </row>
    <row r="21" spans="1:10" x14ac:dyDescent="0.2">
      <c r="A21" s="3">
        <v>9.5000000000000001E-2</v>
      </c>
      <c r="B21" s="8">
        <v>6.9332858000000002E-3</v>
      </c>
      <c r="C21" s="8">
        <v>0.19032766340000001</v>
      </c>
      <c r="D21" s="8">
        <v>0.43626558809999999</v>
      </c>
      <c r="E21" s="7">
        <v>1.5892350873227171E-2</v>
      </c>
      <c r="F21" s="3">
        <v>47.962571170300002</v>
      </c>
      <c r="G21" s="3">
        <v>6.9255015104000002</v>
      </c>
      <c r="H21" s="10">
        <v>-1</v>
      </c>
      <c r="I21" s="3">
        <v>-1</v>
      </c>
      <c r="J21" s="11" t="s">
        <v>15</v>
      </c>
    </row>
    <row r="22" spans="1:10" x14ac:dyDescent="0.2">
      <c r="A22" s="3">
        <v>0.1</v>
      </c>
      <c r="B22" s="8">
        <v>9.8418466000000007E-3</v>
      </c>
      <c r="C22" s="8">
        <v>0.2105370577</v>
      </c>
      <c r="D22" s="8">
        <v>0.45884317330000002</v>
      </c>
      <c r="E22" s="7">
        <v>2.14492601670794E-2</v>
      </c>
      <c r="F22" s="3">
        <v>53.055338537799997</v>
      </c>
      <c r="G22" s="3">
        <v>7.2839095641</v>
      </c>
      <c r="H22" s="10">
        <v>-1</v>
      </c>
      <c r="I22" s="3">
        <v>-1</v>
      </c>
      <c r="J22" s="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21xN_portfolio_metrics</vt:lpstr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Alfred</cp:lastModifiedBy>
  <dcterms:created xsi:type="dcterms:W3CDTF">2025-05-26T19:37:00Z</dcterms:created>
  <dcterms:modified xsi:type="dcterms:W3CDTF">2025-05-28T00:18:08Z</dcterms:modified>
</cp:coreProperties>
</file>